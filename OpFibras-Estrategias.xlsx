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 R\Documents\"/>
    </mc:Choice>
  </mc:AlternateContent>
  <xr:revisionPtr revIDLastSave="0" documentId="8_{E4226FFD-D144-46F6-88BA-0DC1BC1E6B50}" xr6:coauthVersionLast="47" xr6:coauthVersionMax="47" xr10:uidLastSave="{00000000-0000-0000-0000-000000000000}"/>
  <bookViews>
    <workbookView xWindow="-120" yWindow="-120" windowWidth="15600" windowHeight="19440" activeTab="2" xr2:uid="{F5760B97-FA14-4C56-8821-FCE851F1D532}"/>
  </bookViews>
  <sheets>
    <sheet name="Operaciones" sheetId="1" r:id="rId1"/>
    <sheet name="Portafolio" sheetId="3" r:id="rId2"/>
    <sheet name="Etiquetas" sheetId="2" r:id="rId3"/>
  </sheets>
  <definedNames>
    <definedName name="DANHOS_13">Etiquetas!$A$3:$A$5</definedName>
    <definedName name="LABEL_COMPRA">Etiquetas!$B$2</definedName>
    <definedName name="LABEL_VENTA">Etiquetas!$B$3</definedName>
    <definedName name="LISTA_FIBRAS">Etiquetas!$A$2:$A$5</definedName>
    <definedName name="LISTA_TIPOS">Etiquetas!$B$2:$B$5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6" i="1" l="1"/>
  <c r="G15" i="1"/>
  <c r="G14" i="1"/>
  <c r="G13" i="1"/>
  <c r="G12" i="1"/>
  <c r="G6" i="1"/>
  <c r="I6" i="1" s="1"/>
  <c r="G4" i="1"/>
  <c r="G5" i="1"/>
  <c r="G7" i="1"/>
  <c r="I7" i="1" s="1"/>
  <c r="G11" i="1"/>
  <c r="I11" i="1" s="1"/>
  <c r="K11" i="1" s="1"/>
  <c r="G10" i="1"/>
  <c r="I10" i="1" s="1"/>
  <c r="K10" i="1" s="1"/>
  <c r="L10" i="1" s="1"/>
  <c r="G3" i="1"/>
  <c r="I3" i="1" s="1"/>
  <c r="K3" i="1" s="1"/>
  <c r="G2" i="1"/>
  <c r="I2" i="1" s="1"/>
  <c r="K2" i="1" s="1"/>
  <c r="I16" i="1" l="1"/>
  <c r="K16" i="1" s="1"/>
  <c r="I15" i="1"/>
  <c r="K15" i="1" s="1"/>
  <c r="L15" i="1" s="1"/>
  <c r="I14" i="1"/>
  <c r="K14" i="1" s="1"/>
  <c r="I13" i="1"/>
  <c r="K13" i="1" s="1"/>
  <c r="I12" i="1"/>
  <c r="K12" i="1" s="1"/>
  <c r="L6" i="1"/>
  <c r="K6" i="1"/>
  <c r="L2" i="1"/>
  <c r="L3" i="1"/>
  <c r="L11" i="1"/>
  <c r="I4" i="1"/>
  <c r="I5" i="1"/>
  <c r="K5" i="1" s="1"/>
  <c r="K7" i="1"/>
  <c r="L7" i="1" s="1"/>
  <c r="L16" i="1" l="1"/>
  <c r="L14" i="1"/>
  <c r="L13" i="1"/>
  <c r="L12" i="1"/>
  <c r="L5" i="1"/>
  <c r="K4" i="1"/>
  <c r="L4" i="1"/>
</calcChain>
</file>

<file path=xl/sharedStrings.xml><?xml version="1.0" encoding="utf-8"?>
<sst xmlns="http://schemas.openxmlformats.org/spreadsheetml/2006/main" count="80" uniqueCount="38">
  <si>
    <t>Fecha</t>
  </si>
  <si>
    <t>Activo</t>
  </si>
  <si>
    <t>Tipo</t>
  </si>
  <si>
    <t>Precio</t>
  </si>
  <si>
    <t>Comisión</t>
  </si>
  <si>
    <t>Total Neto</t>
  </si>
  <si>
    <t>Observaciones</t>
  </si>
  <si>
    <t>Compra</t>
  </si>
  <si>
    <t>Venta</t>
  </si>
  <si>
    <t>Emisora</t>
  </si>
  <si>
    <t>DANHOS 13</t>
  </si>
  <si>
    <t>Importe</t>
  </si>
  <si>
    <t>Monto de Comisión</t>
  </si>
  <si>
    <t>Hora</t>
  </si>
  <si>
    <t>FNOVA 17</t>
  </si>
  <si>
    <t>Títulos</t>
  </si>
  <si>
    <t>ID  Op Plataforma</t>
  </si>
  <si>
    <t>IVA</t>
  </si>
  <si>
    <t>Monto IVA</t>
  </si>
  <si>
    <t>Estrategia</t>
  </si>
  <si>
    <t>DANHOS-NOVA</t>
  </si>
  <si>
    <t>DANHOS-MTY</t>
  </si>
  <si>
    <t>FMTY 14</t>
  </si>
  <si>
    <t>Dist. capital</t>
  </si>
  <si>
    <t>Dist. fiscal</t>
  </si>
  <si>
    <t>Cto. Prom.</t>
  </si>
  <si>
    <t>Imp. X Cto.</t>
  </si>
  <si>
    <t>Precio Merc.</t>
  </si>
  <si>
    <t>Valor Merc.</t>
  </si>
  <si>
    <t>Plus/Minus</t>
  </si>
  <si>
    <t>% Var. Hist.</t>
  </si>
  <si>
    <t>% Var. Dia</t>
  </si>
  <si>
    <t>% Cartera</t>
  </si>
  <si>
    <t>FCFE 18</t>
  </si>
  <si>
    <t>FHIPO 14</t>
  </si>
  <si>
    <t>FSHOP 13</t>
  </si>
  <si>
    <t>FUNO 11</t>
  </si>
  <si>
    <t>FUNO11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</si>
</sst>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* #,##0.00\ &quot;€&quot;_-;\-* #,##0.00\ &quot;€&quot;_-;_-* &quot;-&quot;??\ &quot;€&quot;_-;_-@_-"/>
    <numFmt numFmtId="164" formatCode="_-[$$-80A]* #,##0.00_-;\-[$$-80A]* #,##0.00_-;_-[$$-80A]* &quot;-&quot;??_-;_-@_-"/>
    <numFmt numFmtId="165" formatCode="#,##0_ ;\-#,##0\ "/>
    <numFmt numFmtId="166" formatCode="[$-409]h:mm\ AM/PM;@"/>
    <numFmt numFmtId="167" formatCode="0_ ;\-0\ 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222222"/>
      <name val="Arial"/>
      <family val="2"/>
    </font>
    <font>
      <b/>
      <sz val="14"/>
      <color rgb="FF000000"/>
      <name val="Arial"/>
      <family val="2"/>
    </font>
    <font>
      <sz val="14"/>
      <color rgb="FF000000"/>
      <name val="Arial"/>
      <family val="2"/>
    </font>
    <font>
      <sz val="11"/>
      <color rgb="FF222222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7FA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2" fillId="0" borderId="0" xfId="0" applyFont="1" applyAlignment="1">
      <alignment horizontal="center" vertical="center" wrapText="1"/>
    </xf>
    <xf numFmtId="14" fontId="0" fillId="0" borderId="0" xfId="0" applyNumberFormat="1" applyAlignment="1">
      <alignment vertical="center" wrapText="1"/>
    </xf>
    <xf numFmtId="0" fontId="0" fillId="0" borderId="0" xfId="0" applyAlignment="1">
      <alignment vertical="center" wrapText="1"/>
    </xf>
    <xf numFmtId="0" fontId="3" fillId="2" borderId="0" xfId="0" applyFont="1" applyFill="1" applyAlignment="1">
      <alignment vertical="center" wrapText="1"/>
    </xf>
    <xf numFmtId="10" fontId="3" fillId="2" borderId="0" xfId="0" applyNumberFormat="1" applyFont="1" applyFill="1" applyAlignment="1">
      <alignment vertical="center" wrapText="1"/>
    </xf>
    <xf numFmtId="15" fontId="3" fillId="2" borderId="0" xfId="0" applyNumberFormat="1" applyFont="1" applyFill="1" applyAlignment="1">
      <alignment vertical="center" wrapText="1"/>
    </xf>
    <xf numFmtId="164" fontId="0" fillId="0" borderId="0" xfId="0" applyNumberFormat="1" applyAlignment="1">
      <alignment vertical="center" wrapText="1"/>
    </xf>
    <xf numFmtId="165" fontId="0" fillId="0" borderId="0" xfId="0" applyNumberFormat="1" applyAlignment="1">
      <alignment vertical="center" wrapText="1"/>
    </xf>
    <xf numFmtId="165" fontId="0" fillId="0" borderId="0" xfId="1" applyNumberFormat="1" applyFont="1" applyAlignment="1">
      <alignment vertical="center" wrapText="1"/>
    </xf>
    <xf numFmtId="166" fontId="0" fillId="0" borderId="0" xfId="0" applyNumberFormat="1" applyAlignment="1">
      <alignment vertical="center" wrapText="1"/>
    </xf>
    <xf numFmtId="10" fontId="0" fillId="0" borderId="0" xfId="0" applyNumberFormat="1" applyAlignment="1">
      <alignment vertical="center" wrapText="1"/>
    </xf>
    <xf numFmtId="167" fontId="0" fillId="0" borderId="0" xfId="0" applyNumberFormat="1" applyAlignment="1">
      <alignment vertical="center" wrapText="1"/>
    </xf>
    <xf numFmtId="164" fontId="0" fillId="0" borderId="0" xfId="0" applyNumberFormat="1"/>
    <xf numFmtId="10" fontId="0" fillId="0" borderId="0" xfId="2" applyNumberFormat="1" applyFont="1"/>
    <xf numFmtId="0" fontId="0" fillId="0" borderId="0" xfId="0" applyAlignment="1">
      <alignment horizontal="center" vertical="center" wrapText="1"/>
    </xf>
    <xf numFmtId="10" fontId="1" fillId="0" borderId="0" xfId="2" applyNumberFormat="1" applyFont="1"/>
    <xf numFmtId="0" fontId="4" fillId="3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vertical="center" wrapText="1"/>
    </xf>
    <xf numFmtId="0" fontId="6" fillId="0" borderId="0" xfId="0" applyFon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MX"/>
              <a:t>portafolio de Fibras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pattFill prst="ltUpDiag">
                <a:fgClr>
                  <a:schemeClr val="accent1"/>
                </a:fgClr>
                <a:bgClr>
                  <a:schemeClr val="accent1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1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B9BE-4BE6-AB35-A21EF9704E52}"/>
              </c:ext>
            </c:extLst>
          </c:dPt>
          <c:dPt>
            <c:idx val="1"/>
            <c:bubble3D val="0"/>
            <c:spPr>
              <a:pattFill prst="ltUpDiag">
                <a:fgClr>
                  <a:schemeClr val="accent2"/>
                </a:fgClr>
                <a:bgClr>
                  <a:schemeClr val="accent2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2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B9BE-4BE6-AB35-A21EF9704E52}"/>
              </c:ext>
            </c:extLst>
          </c:dPt>
          <c:dPt>
            <c:idx val="2"/>
            <c:bubble3D val="0"/>
            <c:spPr>
              <a:pattFill prst="ltUpDiag">
                <a:fgClr>
                  <a:schemeClr val="accent3"/>
                </a:fgClr>
                <a:bgClr>
                  <a:schemeClr val="accent3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3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B9BE-4BE6-AB35-A21EF9704E52}"/>
              </c:ext>
            </c:extLst>
          </c:dPt>
          <c:dPt>
            <c:idx val="3"/>
            <c:bubble3D val="0"/>
            <c:spPr>
              <a:pattFill prst="ltUpDiag">
                <a:fgClr>
                  <a:schemeClr val="accent4"/>
                </a:fgClr>
                <a:bgClr>
                  <a:schemeClr val="accent4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4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B9BE-4BE6-AB35-A21EF9704E52}"/>
              </c:ext>
            </c:extLst>
          </c:dPt>
          <c:dPt>
            <c:idx val="4"/>
            <c:bubble3D val="0"/>
            <c:spPr>
              <a:pattFill prst="ltUpDiag">
                <a:fgClr>
                  <a:schemeClr val="accent5"/>
                </a:fgClr>
                <a:bgClr>
                  <a:schemeClr val="accent5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5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B9BE-4BE6-AB35-A21EF9704E52}"/>
              </c:ext>
            </c:extLst>
          </c:dPt>
          <c:dPt>
            <c:idx val="5"/>
            <c:bubble3D val="0"/>
            <c:spPr>
              <a:pattFill prst="ltUpDiag">
                <a:fgClr>
                  <a:schemeClr val="accent6"/>
                </a:fgClr>
                <a:bgClr>
                  <a:schemeClr val="accent6">
                    <a:lumMod val="20000"/>
                    <a:lumOff val="80000"/>
                  </a:schemeClr>
                </a:bgClr>
              </a:pattFill>
              <a:ln w="19050">
                <a:solidFill>
                  <a:schemeClr val="lt1"/>
                </a:solidFill>
              </a:ln>
              <a:effectLst>
                <a:innerShdw blurRad="114300">
                  <a:schemeClr val="accent6"/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B-B9BE-4BE6-AB35-A21EF9704E5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MX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tx1">
                      <a:lumMod val="35000"/>
                      <a:lumOff val="65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Portafolio!$A$2:$A$7</c:f>
              <c:strCache>
                <c:ptCount val="6"/>
                <c:pt idx="0">
                  <c:v>FCFE 18</c:v>
                </c:pt>
                <c:pt idx="1">
                  <c:v>FHIPO 14</c:v>
                </c:pt>
                <c:pt idx="2">
                  <c:v>FMTY 14</c:v>
                </c:pt>
                <c:pt idx="3">
                  <c:v>FNOVA 17</c:v>
                </c:pt>
                <c:pt idx="4">
                  <c:v>FSHOP 13</c:v>
                </c:pt>
                <c:pt idx="5">
                  <c:v>FUNO 11</c:v>
                </c:pt>
              </c:strCache>
            </c:strRef>
          </c:cat>
          <c:val>
            <c:numRef>
              <c:f>Portafolio!$B$2:$B$7</c:f>
              <c:numCache>
                <c:formatCode>General</c:formatCode>
                <c:ptCount val="6"/>
                <c:pt idx="0">
                  <c:v>54</c:v>
                </c:pt>
                <c:pt idx="1">
                  <c:v>31</c:v>
                </c:pt>
                <c:pt idx="2">
                  <c:v>272</c:v>
                </c:pt>
                <c:pt idx="3">
                  <c:v>497</c:v>
                </c:pt>
                <c:pt idx="4">
                  <c:v>8</c:v>
                </c:pt>
                <c:pt idx="5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99-43C2-AEEA-DE3366B09ED0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MX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MX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phClr">
            <a:lumMod val="20000"/>
            <a:lumOff val="80000"/>
          </a:schemeClr>
        </a:bgClr>
      </a:pattFill>
      <a:ln w="19050">
        <a:solidFill>
          <a:schemeClr val="lt1"/>
        </a:solidFill>
      </a:ln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12</xdr:row>
      <xdr:rowOff>57150</xdr:rowOff>
    </xdr:from>
    <xdr:to>
      <xdr:col>5</xdr:col>
      <xdr:colOff>600075</xdr:colOff>
      <xdr:row>26</xdr:row>
      <xdr:rowOff>133350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B245EBC-E563-71F7-ABFC-F309DFD88E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3109D4-D769-4683-89A1-65FF990C775B}" name="Tabla1" displayName="Tabla1" ref="A1:J10" totalsRowShown="0">
  <autoFilter ref="A1:J10" xr:uid="{EB3109D4-D769-4683-89A1-65FF990C775B}"/>
  <tableColumns count="10">
    <tableColumn id="1" xr3:uid="{9188A804-800C-4249-9F33-8686B9F5E797}" name="Emisora"/>
    <tableColumn id="2" xr3:uid="{4594B912-89FB-474C-A2A9-0D470993BC07}" name="Títulos"/>
    <tableColumn id="3" xr3:uid="{26DE14A7-8641-48EF-A09D-8C8A4304367F}" name="Cto. Prom."/>
    <tableColumn id="4" xr3:uid="{40A7739A-2985-420B-88CF-364033854839}" name="Imp. X Cto."/>
    <tableColumn id="5" xr3:uid="{FD8871DA-8900-4BD6-9629-C463DD270A0E}" name="Precio Merc."/>
    <tableColumn id="6" xr3:uid="{502CC7AB-00E3-41B6-B0C0-983C3A830F29}" name="Valor Merc."/>
    <tableColumn id="7" xr3:uid="{6A50E997-FFBA-40C6-8614-ED63244F8472}" name="Plus/Minus"/>
    <tableColumn id="8" xr3:uid="{E6CBA135-7FB4-4834-BF0A-1C73A2F30A4C}" name="% Var. Hist."/>
    <tableColumn id="9" xr3:uid="{0A17CF14-2B93-4C30-94A0-37350C2866E1}" name="% Var. Dia"/>
    <tableColumn id="10" xr3:uid="{222F4BB0-ED07-4AC1-BE78-4AB36E402A91}" name="% Cartera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9B723-20E6-4C3D-A5EE-74F4A7EC2191}">
  <dimension ref="A1:O35"/>
  <sheetViews>
    <sheetView topLeftCell="E1" workbookViewId="0">
      <selection activeCell="N13" sqref="N13"/>
    </sheetView>
  </sheetViews>
  <sheetFormatPr defaultColWidth="11.42578125" defaultRowHeight="15" x14ac:dyDescent="0.25"/>
  <cols>
    <col min="1" max="1" width="12.7109375" customWidth="1"/>
    <col min="2" max="2" width="10.28515625" customWidth="1"/>
    <col min="3" max="3" width="15.7109375" customWidth="1"/>
    <col min="4" max="4" width="16.85546875" customWidth="1"/>
    <col min="5" max="5" width="8.85546875" customWidth="1"/>
    <col min="8" max="8" width="9" customWidth="1"/>
    <col min="10" max="10" width="8.7109375" customWidth="1"/>
    <col min="12" max="12" width="11.85546875" customWidth="1"/>
    <col min="13" max="13" width="11" customWidth="1"/>
    <col min="14" max="14" width="17.7109375" customWidth="1"/>
  </cols>
  <sheetData>
    <row r="1" spans="1:15" ht="30" x14ac:dyDescent="0.25">
      <c r="A1" s="1" t="s">
        <v>0</v>
      </c>
      <c r="B1" s="1" t="s">
        <v>13</v>
      </c>
      <c r="C1" s="1" t="s">
        <v>1</v>
      </c>
      <c r="D1" s="1" t="s">
        <v>2</v>
      </c>
      <c r="E1" s="1" t="s">
        <v>15</v>
      </c>
      <c r="F1" s="1" t="s">
        <v>3</v>
      </c>
      <c r="G1" s="1" t="s">
        <v>11</v>
      </c>
      <c r="H1" s="1" t="s">
        <v>4</v>
      </c>
      <c r="I1" s="1" t="s">
        <v>12</v>
      </c>
      <c r="J1" s="1" t="s">
        <v>17</v>
      </c>
      <c r="K1" s="1" t="s">
        <v>18</v>
      </c>
      <c r="L1" s="1" t="s">
        <v>5</v>
      </c>
      <c r="M1" s="1" t="s">
        <v>19</v>
      </c>
      <c r="N1" s="1" t="s">
        <v>6</v>
      </c>
      <c r="O1" s="1" t="s">
        <v>16</v>
      </c>
    </row>
    <row r="2" spans="1:15" x14ac:dyDescent="0.25">
      <c r="A2" s="2">
        <v>45833</v>
      </c>
      <c r="B2" s="10">
        <v>0.55000000000000004</v>
      </c>
      <c r="C2" s="3" t="s">
        <v>10</v>
      </c>
      <c r="D2" s="3" t="s">
        <v>8</v>
      </c>
      <c r="E2" s="8">
        <v>460</v>
      </c>
      <c r="F2" s="7">
        <v>24.96</v>
      </c>
      <c r="G2" s="7">
        <f t="shared" ref="G2:G7" si="0">F2*E2</f>
        <v>11481.6</v>
      </c>
      <c r="H2" s="11">
        <v>2.5000000000000001E-3</v>
      </c>
      <c r="I2" s="13">
        <f t="shared" ref="I2:I7" si="1">H2*G2</f>
        <v>28.704000000000001</v>
      </c>
      <c r="J2" s="16">
        <v>0.16</v>
      </c>
      <c r="K2" s="13">
        <f t="shared" ref="K2:K7" si="2">J2*I2</f>
        <v>4.5926400000000003</v>
      </c>
      <c r="L2" s="7">
        <f t="shared" ref="L2:L7" si="3">IF(EXACT(D2,LABEL_COMPRA),-1,1)*G2-(I2+K2)</f>
        <v>11448.30336</v>
      </c>
      <c r="M2" s="3">
        <v>1</v>
      </c>
      <c r="N2" s="15" t="s">
        <v>21</v>
      </c>
      <c r="O2" s="3">
        <v>94327711</v>
      </c>
    </row>
    <row r="3" spans="1:15" x14ac:dyDescent="0.25">
      <c r="A3" s="2">
        <v>45833</v>
      </c>
      <c r="B3" s="10">
        <v>0.55763888888888891</v>
      </c>
      <c r="C3" s="3" t="s">
        <v>22</v>
      </c>
      <c r="D3" s="3" t="s">
        <v>7</v>
      </c>
      <c r="E3" s="8">
        <v>870</v>
      </c>
      <c r="F3" s="7">
        <v>13.09</v>
      </c>
      <c r="G3" s="7">
        <f t="shared" si="0"/>
        <v>11388.3</v>
      </c>
      <c r="H3" s="11">
        <v>2.5000000000000001E-3</v>
      </c>
      <c r="I3" s="13">
        <f t="shared" si="1"/>
        <v>28.470749999999999</v>
      </c>
      <c r="J3" s="16">
        <v>0.16</v>
      </c>
      <c r="K3" s="13">
        <f t="shared" si="2"/>
        <v>4.55532</v>
      </c>
      <c r="L3" s="7">
        <f t="shared" si="3"/>
        <v>-11421.326069999999</v>
      </c>
      <c r="M3" s="3">
        <v>1</v>
      </c>
      <c r="N3" s="15" t="s">
        <v>21</v>
      </c>
      <c r="O3" s="3">
        <v>94328607</v>
      </c>
    </row>
    <row r="4" spans="1:15" x14ac:dyDescent="0.25">
      <c r="A4" s="2">
        <v>45842</v>
      </c>
      <c r="B4" s="10">
        <v>0.62291666666666667</v>
      </c>
      <c r="C4" s="3" t="s">
        <v>22</v>
      </c>
      <c r="D4" s="3" t="s">
        <v>23</v>
      </c>
      <c r="E4" s="8">
        <v>1</v>
      </c>
      <c r="F4" s="7">
        <v>101.35</v>
      </c>
      <c r="G4" s="7">
        <f t="shared" si="0"/>
        <v>101.35</v>
      </c>
      <c r="H4" s="11">
        <v>0</v>
      </c>
      <c r="I4" s="13">
        <f t="shared" si="1"/>
        <v>0</v>
      </c>
      <c r="J4" s="16">
        <v>0</v>
      </c>
      <c r="K4" s="13">
        <f t="shared" si="2"/>
        <v>0</v>
      </c>
      <c r="L4" s="7">
        <f t="shared" si="3"/>
        <v>101.35</v>
      </c>
      <c r="M4" s="3">
        <v>1</v>
      </c>
      <c r="N4" s="15" t="s">
        <v>21</v>
      </c>
      <c r="O4" s="3">
        <v>0</v>
      </c>
    </row>
    <row r="5" spans="1:15" x14ac:dyDescent="0.25">
      <c r="A5" s="2">
        <v>45852</v>
      </c>
      <c r="B5" s="10">
        <v>0.29722222222222222</v>
      </c>
      <c r="C5" s="3" t="s">
        <v>22</v>
      </c>
      <c r="D5" s="3" t="s">
        <v>8</v>
      </c>
      <c r="E5" s="8">
        <v>870</v>
      </c>
      <c r="F5" s="7">
        <v>13.2</v>
      </c>
      <c r="G5" s="7">
        <f t="shared" si="0"/>
        <v>11484</v>
      </c>
      <c r="H5" s="11">
        <v>2.5000000000000001E-3</v>
      </c>
      <c r="I5" s="13">
        <f t="shared" si="1"/>
        <v>28.71</v>
      </c>
      <c r="J5" s="16">
        <v>0.16</v>
      </c>
      <c r="K5" s="13">
        <f t="shared" si="2"/>
        <v>4.5936000000000003</v>
      </c>
      <c r="L5" s="7">
        <f t="shared" si="3"/>
        <v>11450.696400000001</v>
      </c>
      <c r="M5" s="3">
        <v>1</v>
      </c>
      <c r="N5" s="15" t="s">
        <v>21</v>
      </c>
      <c r="O5" s="3">
        <v>94991731</v>
      </c>
    </row>
    <row r="6" spans="1:15" x14ac:dyDescent="0.25">
      <c r="A6" s="2">
        <v>45852</v>
      </c>
      <c r="B6" s="10">
        <v>0.29791666666666666</v>
      </c>
      <c r="C6" s="3" t="s">
        <v>10</v>
      </c>
      <c r="D6" s="3" t="s">
        <v>7</v>
      </c>
      <c r="E6" s="8">
        <v>6</v>
      </c>
      <c r="F6" s="7">
        <v>24.5</v>
      </c>
      <c r="G6" s="7">
        <f t="shared" si="0"/>
        <v>147</v>
      </c>
      <c r="H6" s="11">
        <v>2.5000000000000001E-3</v>
      </c>
      <c r="I6" s="13">
        <f t="shared" si="1"/>
        <v>0.36749999999999999</v>
      </c>
      <c r="J6" s="16">
        <v>0.16</v>
      </c>
      <c r="K6" s="13">
        <f t="shared" si="2"/>
        <v>5.8799999999999998E-2</v>
      </c>
      <c r="L6" s="7">
        <f t="shared" si="3"/>
        <v>-147.4263</v>
      </c>
      <c r="M6" s="3">
        <v>1</v>
      </c>
      <c r="N6" s="15" t="s">
        <v>21</v>
      </c>
      <c r="O6" s="3">
        <v>94991731</v>
      </c>
    </row>
    <row r="7" spans="1:15" x14ac:dyDescent="0.25">
      <c r="A7" s="2">
        <v>45853</v>
      </c>
      <c r="B7" s="10">
        <v>0.2951388888888889</v>
      </c>
      <c r="C7" s="3" t="s">
        <v>10</v>
      </c>
      <c r="D7" s="3" t="s">
        <v>7</v>
      </c>
      <c r="E7" s="8">
        <v>471</v>
      </c>
      <c r="F7" s="7">
        <v>24.25</v>
      </c>
      <c r="G7" s="7">
        <f t="shared" si="0"/>
        <v>11421.75</v>
      </c>
      <c r="H7" s="11">
        <v>2.5000000000000001E-3</v>
      </c>
      <c r="I7" s="13">
        <f t="shared" si="1"/>
        <v>28.554375</v>
      </c>
      <c r="J7" s="16">
        <v>0.16</v>
      </c>
      <c r="K7" s="13">
        <f t="shared" si="2"/>
        <v>4.5686999999999998</v>
      </c>
      <c r="L7" s="7">
        <f t="shared" si="3"/>
        <v>-11454.873075</v>
      </c>
      <c r="M7" s="3">
        <v>1</v>
      </c>
      <c r="N7" s="15" t="s">
        <v>21</v>
      </c>
      <c r="O7" s="3">
        <v>95041918</v>
      </c>
    </row>
    <row r="8" spans="1:15" x14ac:dyDescent="0.25">
      <c r="A8" s="2"/>
      <c r="B8" s="10"/>
      <c r="C8" s="3"/>
      <c r="D8" s="3"/>
      <c r="E8" s="8"/>
      <c r="F8" s="7"/>
      <c r="G8" s="7"/>
      <c r="H8" s="11"/>
      <c r="I8" s="13"/>
      <c r="J8" s="16"/>
      <c r="K8" s="13"/>
      <c r="L8" s="7"/>
      <c r="M8" s="3"/>
      <c r="N8" s="15"/>
      <c r="O8" s="15"/>
    </row>
    <row r="9" spans="1:15" x14ac:dyDescent="0.25">
      <c r="A9" s="2"/>
      <c r="B9" s="10"/>
      <c r="C9" s="3"/>
      <c r="D9" s="3"/>
      <c r="E9" s="8"/>
      <c r="F9" s="7"/>
      <c r="G9" s="7"/>
      <c r="H9" s="11"/>
      <c r="I9" s="13"/>
      <c r="J9" s="16"/>
      <c r="K9" s="13"/>
      <c r="L9" s="7"/>
      <c r="M9" s="3"/>
      <c r="N9" s="15"/>
      <c r="O9" s="15"/>
    </row>
    <row r="10" spans="1:15" x14ac:dyDescent="0.25">
      <c r="A10" s="2">
        <v>45862</v>
      </c>
      <c r="B10" s="10">
        <v>0.41388888888888886</v>
      </c>
      <c r="C10" s="3" t="s">
        <v>10</v>
      </c>
      <c r="D10" s="3" t="s">
        <v>8</v>
      </c>
      <c r="E10" s="8">
        <v>477</v>
      </c>
      <c r="F10" s="7">
        <v>24.65</v>
      </c>
      <c r="G10" s="7">
        <f t="shared" ref="G10:G16" si="4">F10*E10</f>
        <v>11758.05</v>
      </c>
      <c r="H10" s="11">
        <v>2.5000000000000001E-3</v>
      </c>
      <c r="I10" s="13">
        <f t="shared" ref="I10:I16" si="5">H10*G10</f>
        <v>29.395125</v>
      </c>
      <c r="J10" s="14">
        <v>0.16</v>
      </c>
      <c r="K10" s="13">
        <f t="shared" ref="K10:K16" si="6">J10*I10</f>
        <v>4.70322</v>
      </c>
      <c r="L10" s="7">
        <f t="shared" ref="L10:L16" si="7">IF(EXACT(D10,LABEL_COMPRA),-1,1)*G10-(I10+K10)</f>
        <v>11723.951654999999</v>
      </c>
      <c r="M10" s="3">
        <v>2</v>
      </c>
      <c r="N10" s="7" t="s">
        <v>20</v>
      </c>
      <c r="O10" s="12">
        <v>95475836</v>
      </c>
    </row>
    <row r="11" spans="1:15" x14ac:dyDescent="0.25">
      <c r="A11" s="2">
        <v>45862</v>
      </c>
      <c r="B11" s="10">
        <v>0.54236111111111107</v>
      </c>
      <c r="C11" s="3" t="s">
        <v>14</v>
      </c>
      <c r="D11" s="3" t="s">
        <v>7</v>
      </c>
      <c r="E11" s="9">
        <v>433</v>
      </c>
      <c r="F11" s="7">
        <v>27</v>
      </c>
      <c r="G11" s="7">
        <f t="shared" si="4"/>
        <v>11691</v>
      </c>
      <c r="H11" s="11">
        <v>2.5000000000000001E-3</v>
      </c>
      <c r="I11" s="13">
        <f t="shared" si="5"/>
        <v>29.227499999999999</v>
      </c>
      <c r="J11" s="14">
        <v>0.16</v>
      </c>
      <c r="K11" s="13">
        <f t="shared" si="6"/>
        <v>4.6764000000000001</v>
      </c>
      <c r="L11" s="7">
        <f t="shared" si="7"/>
        <v>-11724.903899999999</v>
      </c>
      <c r="M11" s="3">
        <v>2</v>
      </c>
      <c r="N11" s="7" t="s">
        <v>20</v>
      </c>
      <c r="O11">
        <v>95492895</v>
      </c>
    </row>
    <row r="12" spans="1:15" x14ac:dyDescent="0.25">
      <c r="A12" s="2">
        <v>45870</v>
      </c>
      <c r="B12" s="10">
        <v>0.4465277777777778</v>
      </c>
      <c r="C12" s="3" t="s">
        <v>14</v>
      </c>
      <c r="D12" s="3" t="s">
        <v>8</v>
      </c>
      <c r="E12" s="9">
        <v>433</v>
      </c>
      <c r="F12" s="7">
        <v>27.24</v>
      </c>
      <c r="G12" s="7">
        <f t="shared" si="4"/>
        <v>11794.92</v>
      </c>
      <c r="H12" s="11">
        <v>2.5000000000000001E-3</v>
      </c>
      <c r="I12" s="13">
        <f t="shared" si="5"/>
        <v>29.487300000000001</v>
      </c>
      <c r="J12" s="14">
        <v>0.16</v>
      </c>
      <c r="K12" s="13">
        <f t="shared" si="6"/>
        <v>4.7179679999999999</v>
      </c>
      <c r="L12" s="7">
        <f t="shared" si="7"/>
        <v>11760.714732</v>
      </c>
      <c r="M12" s="3">
        <v>2</v>
      </c>
      <c r="N12" s="7" t="s">
        <v>20</v>
      </c>
      <c r="O12" s="19">
        <v>95866037</v>
      </c>
    </row>
    <row r="13" spans="1:15" x14ac:dyDescent="0.25">
      <c r="A13" s="2">
        <v>45873</v>
      </c>
      <c r="B13" s="10">
        <v>0.33611111111111114</v>
      </c>
      <c r="C13" s="3" t="s">
        <v>10</v>
      </c>
      <c r="D13" s="3" t="s">
        <v>7</v>
      </c>
      <c r="E13" s="9">
        <v>478</v>
      </c>
      <c r="F13" s="7">
        <v>25.2</v>
      </c>
      <c r="G13" s="7">
        <f t="shared" si="4"/>
        <v>12045.6</v>
      </c>
      <c r="H13" s="11">
        <v>2.5000000000000001E-3</v>
      </c>
      <c r="I13" s="13">
        <f t="shared" si="5"/>
        <v>30.114000000000001</v>
      </c>
      <c r="J13" s="14">
        <v>0.16</v>
      </c>
      <c r="K13" s="13">
        <f t="shared" si="6"/>
        <v>4.8182400000000003</v>
      </c>
      <c r="L13" s="7">
        <f t="shared" si="7"/>
        <v>-12080.53224</v>
      </c>
      <c r="M13" s="3">
        <v>2</v>
      </c>
      <c r="N13" s="7" t="s">
        <v>20</v>
      </c>
      <c r="O13" s="19">
        <v>95912788</v>
      </c>
    </row>
    <row r="14" spans="1:15" x14ac:dyDescent="0.25">
      <c r="A14" s="2">
        <v>45875</v>
      </c>
      <c r="B14" s="10">
        <v>0.47083333333333333</v>
      </c>
      <c r="C14" s="3" t="s">
        <v>10</v>
      </c>
      <c r="D14" s="3" t="s">
        <v>8</v>
      </c>
      <c r="E14" s="9">
        <v>477</v>
      </c>
      <c r="F14" s="7">
        <v>25.63</v>
      </c>
      <c r="G14" s="7">
        <f t="shared" si="4"/>
        <v>12225.51</v>
      </c>
      <c r="H14" s="11">
        <v>2.5000000000000001E-3</v>
      </c>
      <c r="I14" s="13">
        <f t="shared" si="5"/>
        <v>30.563775</v>
      </c>
      <c r="J14" s="14">
        <v>0.16</v>
      </c>
      <c r="K14" s="13">
        <f t="shared" si="6"/>
        <v>4.8902039999999998</v>
      </c>
      <c r="L14" s="7">
        <f t="shared" si="7"/>
        <v>12190.056021</v>
      </c>
      <c r="M14" s="3">
        <v>2</v>
      </c>
      <c r="N14" s="7" t="s">
        <v>20</v>
      </c>
      <c r="O14" s="19">
        <v>96053194</v>
      </c>
    </row>
    <row r="15" spans="1:15" x14ac:dyDescent="0.25">
      <c r="A15" s="2">
        <v>45875</v>
      </c>
      <c r="B15" s="10">
        <v>0.47083333333333333</v>
      </c>
      <c r="C15" s="3" t="s">
        <v>37</v>
      </c>
      <c r="D15" s="3" t="s">
        <v>7</v>
      </c>
      <c r="E15" s="9">
        <v>406</v>
      </c>
      <c r="F15" s="7">
        <v>26.53</v>
      </c>
      <c r="G15" s="7">
        <f t="shared" si="4"/>
        <v>10771.18</v>
      </c>
      <c r="H15" s="11">
        <v>2.5000000000000001E-3</v>
      </c>
      <c r="I15" s="13">
        <f t="shared" si="5"/>
        <v>26.927950000000003</v>
      </c>
      <c r="J15" s="14">
        <v>0.16</v>
      </c>
      <c r="K15" s="13">
        <f t="shared" si="6"/>
        <v>4.308472000000001</v>
      </c>
      <c r="L15" s="7">
        <f t="shared" si="7"/>
        <v>-10802.416422</v>
      </c>
      <c r="M15" s="3">
        <v>2</v>
      </c>
      <c r="N15" s="7" t="s">
        <v>20</v>
      </c>
      <c r="O15" s="19">
        <v>96054917</v>
      </c>
    </row>
    <row r="16" spans="1:15" x14ac:dyDescent="0.25">
      <c r="A16" s="2">
        <v>45875</v>
      </c>
      <c r="B16" s="10">
        <v>0.47083333333333333</v>
      </c>
      <c r="C16" s="3" t="s">
        <v>37</v>
      </c>
      <c r="D16" s="3" t="s">
        <v>7</v>
      </c>
      <c r="E16" s="9">
        <v>52</v>
      </c>
      <c r="F16" s="7">
        <v>26.45</v>
      </c>
      <c r="G16" s="7">
        <f t="shared" si="4"/>
        <v>1375.3999999999999</v>
      </c>
      <c r="H16" s="11">
        <v>2.5000000000000001E-3</v>
      </c>
      <c r="I16" s="13">
        <f t="shared" si="5"/>
        <v>3.4384999999999999</v>
      </c>
      <c r="J16" s="14">
        <v>0.16</v>
      </c>
      <c r="K16" s="13">
        <f t="shared" si="6"/>
        <v>0.55015999999999998</v>
      </c>
      <c r="L16" s="7">
        <f t="shared" si="7"/>
        <v>-1379.3886599999998</v>
      </c>
      <c r="M16" s="3">
        <v>2</v>
      </c>
      <c r="N16" s="7" t="s">
        <v>20</v>
      </c>
      <c r="O16" s="19">
        <v>96056525</v>
      </c>
    </row>
    <row r="28" spans="5:6" x14ac:dyDescent="0.25">
      <c r="E28" s="4"/>
      <c r="F28" s="4"/>
    </row>
    <row r="29" spans="5:6" x14ac:dyDescent="0.25">
      <c r="E29" s="4"/>
      <c r="F29" s="5"/>
    </row>
    <row r="30" spans="5:6" x14ac:dyDescent="0.25">
      <c r="E30" s="4"/>
      <c r="F30" s="4"/>
    </row>
    <row r="31" spans="5:6" x14ac:dyDescent="0.25">
      <c r="E31" s="4"/>
      <c r="F31" s="4"/>
    </row>
    <row r="32" spans="5:6" x14ac:dyDescent="0.25">
      <c r="E32" s="4"/>
      <c r="F32" s="4"/>
    </row>
    <row r="33" spans="5:6" x14ac:dyDescent="0.25">
      <c r="E33" s="4"/>
      <c r="F33" s="4"/>
    </row>
    <row r="34" spans="5:6" x14ac:dyDescent="0.25">
      <c r="E34" s="4"/>
      <c r="F34" s="6"/>
    </row>
    <row r="35" spans="5:6" x14ac:dyDescent="0.25">
      <c r="E35" s="4"/>
      <c r="F35" s="4"/>
    </row>
  </sheetData>
  <dataValidations count="2">
    <dataValidation type="list" allowBlank="1" showInputMessage="1" showErrorMessage="1" sqref="C2:C7 C10:C16" xr:uid="{EB5A722E-B9EB-4771-899C-B6ED9ECE99DC}">
      <formula1>LISTA_FIBRAS</formula1>
    </dataValidation>
    <dataValidation type="list" allowBlank="1" showInputMessage="1" showErrorMessage="1" sqref="D2:D9" xr:uid="{AE6E8054-CB44-4284-9889-316BB610367A}">
      <formula1>LISTA_TIPOS</formula1>
    </dataValidation>
  </dataValidations>
  <pageMargins left="0.7" right="0.7" top="0.75" bottom="0.75" header="0.3" footer="0.3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CFCD516-4BF3-438D-8A0F-33D37F05D677}">
          <x14:formula1>
            <xm:f>Etiquetas!$A$2:$A$3</xm:f>
          </x14:formula1>
          <xm:sqref>C8:C9</xm:sqref>
        </x14:dataValidation>
        <x14:dataValidation type="list" allowBlank="1" showInputMessage="1" showErrorMessage="1" xr:uid="{CB997777-D860-419A-B2C3-E995AE2E043D}">
          <x14:formula1>
            <xm:f>Etiquetas!$B$2:$B$3</xm:f>
          </x14:formula1>
          <xm:sqref>D10:D16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9FE371-5323-49B5-A197-4E55E16364C6}">
  <dimension ref="A1:K7"/>
  <sheetViews>
    <sheetView workbookViewId="0">
      <selection activeCell="B5" sqref="B5"/>
    </sheetView>
  </sheetViews>
  <sheetFormatPr defaultColWidth="11.42578125" defaultRowHeight="15" x14ac:dyDescent="0.25"/>
  <cols>
    <col min="3" max="3" width="12.42578125" customWidth="1"/>
    <col min="4" max="4" width="12.7109375" customWidth="1"/>
    <col min="5" max="5" width="14.140625" customWidth="1"/>
    <col min="6" max="6" width="13.28515625" customWidth="1"/>
    <col min="7" max="8" width="13.140625" customWidth="1"/>
    <col min="9" max="9" width="12" customWidth="1"/>
    <col min="10" max="10" width="11.5703125" customWidth="1"/>
  </cols>
  <sheetData>
    <row r="1" spans="1:11" ht="18" x14ac:dyDescent="0.25">
      <c r="A1" t="s">
        <v>9</v>
      </c>
      <c r="B1" t="s">
        <v>15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s="17"/>
    </row>
    <row r="2" spans="1:11" ht="18" x14ac:dyDescent="0.25">
      <c r="A2" t="s">
        <v>33</v>
      </c>
      <c r="B2">
        <v>54</v>
      </c>
      <c r="C2" s="13">
        <v>24.03</v>
      </c>
      <c r="D2" s="13">
        <v>1298.03</v>
      </c>
      <c r="E2" s="13">
        <v>22.88</v>
      </c>
      <c r="F2" s="13">
        <v>1235.52</v>
      </c>
      <c r="G2" s="13">
        <v>-62.52</v>
      </c>
      <c r="H2" s="14">
        <v>-4.82E-2</v>
      </c>
      <c r="I2" s="14">
        <v>-4.0000000000000002E-4</v>
      </c>
      <c r="J2" s="14">
        <v>5.6300000000000003E-2</v>
      </c>
      <c r="K2" s="18"/>
    </row>
    <row r="3" spans="1:11" ht="18" x14ac:dyDescent="0.25">
      <c r="A3" t="s">
        <v>34</v>
      </c>
      <c r="B3">
        <v>31</v>
      </c>
      <c r="C3" s="13">
        <v>15.19</v>
      </c>
      <c r="D3" s="13">
        <v>471.13</v>
      </c>
      <c r="E3" s="13">
        <v>13</v>
      </c>
      <c r="F3" s="13">
        <v>403</v>
      </c>
      <c r="G3" s="13">
        <v>-68.14</v>
      </c>
      <c r="H3" s="14">
        <v>-0.14460000000000001</v>
      </c>
      <c r="I3" s="14">
        <v>-5.8000000000000003E-2</v>
      </c>
      <c r="J3" s="14">
        <v>1.84E-2</v>
      </c>
      <c r="K3" s="18"/>
    </row>
    <row r="4" spans="1:11" ht="18" x14ac:dyDescent="0.25">
      <c r="A4" t="s">
        <v>22</v>
      </c>
      <c r="B4">
        <v>272</v>
      </c>
      <c r="C4" s="13">
        <v>12.21</v>
      </c>
      <c r="D4" s="13">
        <v>3321.58</v>
      </c>
      <c r="E4" s="13">
        <v>13.6</v>
      </c>
      <c r="F4" s="13">
        <v>3699.2</v>
      </c>
      <c r="G4" s="13">
        <v>377.61</v>
      </c>
      <c r="H4" s="14">
        <v>0.1137</v>
      </c>
      <c r="I4" s="14">
        <v>-5.7999999999999996E-3</v>
      </c>
      <c r="J4" s="14">
        <v>0.16850000000000001</v>
      </c>
      <c r="K4" s="18"/>
    </row>
    <row r="5" spans="1:11" ht="18" x14ac:dyDescent="0.25">
      <c r="A5" t="s">
        <v>14</v>
      </c>
      <c r="B5">
        <v>497</v>
      </c>
      <c r="C5" s="13">
        <v>26.38</v>
      </c>
      <c r="D5" s="13">
        <v>13114.9</v>
      </c>
      <c r="E5" s="13">
        <v>27.4</v>
      </c>
      <c r="F5" s="13">
        <v>13617.8</v>
      </c>
      <c r="G5" s="13">
        <v>502.9</v>
      </c>
      <c r="H5" s="14">
        <v>3.8300000000000001E-2</v>
      </c>
      <c r="I5" s="14">
        <v>1.0699999999999999E-2</v>
      </c>
      <c r="J5" s="14">
        <v>0.62039999999999995</v>
      </c>
      <c r="K5" s="18"/>
    </row>
    <row r="6" spans="1:11" ht="18" x14ac:dyDescent="0.25">
      <c r="A6" t="s">
        <v>35</v>
      </c>
      <c r="B6">
        <v>8</v>
      </c>
      <c r="C6" s="13">
        <v>8.6300000000000008</v>
      </c>
      <c r="D6" s="13">
        <v>69.09</v>
      </c>
      <c r="E6" s="13">
        <v>8.9499999999999993</v>
      </c>
      <c r="F6" s="13">
        <v>71.599999999999994</v>
      </c>
      <c r="G6" s="13">
        <v>2.5099999999999998</v>
      </c>
      <c r="H6" s="14">
        <v>3.6299999999999999E-2</v>
      </c>
      <c r="I6" s="14">
        <v>2.29E-2</v>
      </c>
      <c r="J6" s="14">
        <v>3.3E-3</v>
      </c>
      <c r="K6" s="18"/>
    </row>
    <row r="7" spans="1:11" ht="18" x14ac:dyDescent="0.25">
      <c r="A7" t="s">
        <v>36</v>
      </c>
      <c r="B7">
        <v>110</v>
      </c>
      <c r="C7" s="13">
        <v>21.02</v>
      </c>
      <c r="D7" s="13">
        <v>2312.44</v>
      </c>
      <c r="E7" s="13">
        <v>26.46</v>
      </c>
      <c r="F7" s="13">
        <v>2910.6</v>
      </c>
      <c r="G7" s="13">
        <v>598.15</v>
      </c>
      <c r="H7" s="14">
        <v>0.25869999999999999</v>
      </c>
      <c r="I7" s="14">
        <v>-7.9000000000000008E-3</v>
      </c>
      <c r="J7" s="14">
        <v>0.1326</v>
      </c>
      <c r="K7" s="18"/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8CF8B-CF7E-44F4-B6E6-731A6C225E0A}">
  <dimension ref="A1:B5"/>
  <sheetViews>
    <sheetView tabSelected="1" workbookViewId="0">
      <selection activeCell="A2" sqref="A2"/>
    </sheetView>
  </sheetViews>
  <sheetFormatPr defaultColWidth="11.42578125" defaultRowHeight="15" x14ac:dyDescent="0.25"/>
  <sheetData>
    <row r="1" spans="1:2" x14ac:dyDescent="0.25">
      <c r="A1" t="s">
        <v>1</v>
      </c>
      <c r="B1" t="s">
        <v>2</v>
      </c>
    </row>
    <row r="2" spans="1:2" x14ac:dyDescent="0.25">
      <c r="A2" t="s">
        <v>10</v>
      </c>
      <c r="B2" t="s">
        <v>7</v>
      </c>
    </row>
    <row r="3" spans="1:2" x14ac:dyDescent="0.25">
      <c r="A3" t="s">
        <v>14</v>
      </c>
      <c r="B3" t="s">
        <v>8</v>
      </c>
    </row>
    <row r="4" spans="1:2" x14ac:dyDescent="0.25">
      <c r="A4" t="s">
        <v>22</v>
      </c>
      <c r="B4" t="s">
        <v>24</v>
      </c>
    </row>
    <row r="5" spans="1:2" x14ac:dyDescent="0.25">
      <c r="A5" t="s">
        <v>37</v>
      </c>
      <c r="B5" t="s">
        <v>23</v>
      </c>
    </row>
  </sheetData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Operaciones</vt:lpstr>
      <vt:lpstr>Portafolio</vt:lpstr>
      <vt:lpstr>Etiquetas</vt:lpstr>
      <vt:lpstr>DANHOS_13</vt:lpstr>
      <vt:lpstr>LABEL_COMPRA</vt:lpstr>
      <vt:lpstr>LABEL_VENTA</vt:lpstr>
      <vt:lpstr>LISTA_FIBRAS</vt:lpstr>
      <vt:lpstr>LISTA_TIPOS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R</dc:creator>
  <cp:lastModifiedBy>M R</cp:lastModifiedBy>
  <dcterms:created xsi:type="dcterms:W3CDTF">2025-07-28T16:58:56Z</dcterms:created>
  <dcterms:modified xsi:type="dcterms:W3CDTF">2025-08-18T03:53:58Z</dcterms:modified>
</cp:coreProperties>
</file>