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R\Documents\Fibras\"/>
    </mc:Choice>
  </mc:AlternateContent>
  <xr:revisionPtr revIDLastSave="0" documentId="13_ncr:1_{7B89CB10-89D3-4C2B-B54C-FD632C92F9B2}" xr6:coauthVersionLast="47" xr6:coauthVersionMax="47" xr10:uidLastSave="{00000000-0000-0000-0000-000000000000}"/>
  <bookViews>
    <workbookView xWindow="-120" yWindow="-120" windowWidth="15600" windowHeight="19440" activeTab="1" xr2:uid="{17518337-C565-44F4-9561-52F600CE7037}"/>
  </bookViews>
  <sheets>
    <sheet name="Portafolio GBM" sheetId="1" r:id="rId1"/>
    <sheet name="Calendario distribuciones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2" l="1"/>
  <c r="J32" i="2"/>
  <c r="K30" i="2"/>
  <c r="M30" i="2" s="1"/>
  <c r="N30" i="2" s="1"/>
  <c r="N29" i="2"/>
  <c r="N28" i="2"/>
  <c r="M29" i="2"/>
  <c r="K29" i="2"/>
  <c r="M28" i="2"/>
  <c r="K28" i="2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J4" i="1"/>
  <c r="I4" i="1"/>
  <c r="H4" i="1"/>
  <c r="G4" i="1"/>
  <c r="F4" i="1"/>
  <c r="E4" i="1"/>
  <c r="D4" i="1"/>
  <c r="C4" i="1"/>
  <c r="B4" i="1"/>
  <c r="J3" i="1"/>
  <c r="I3" i="1"/>
  <c r="H3" i="1"/>
  <c r="G3" i="1"/>
  <c r="F3" i="1"/>
  <c r="E3" i="1"/>
  <c r="D3" i="1"/>
  <c r="C3" i="1"/>
  <c r="B3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<sst xmlns="http://schemas.openxmlformats.org/spreadsheetml/2006/main" count="101" uniqueCount="69">
  <si>
    <t>Emisora</t>
  </si>
  <si>
    <t>Títulos</t>
  </si>
  <si>
    <t>Cto. Prom.</t>
  </si>
  <si>
    <t>Imp. X Cto.</t>
  </si>
  <si>
    <t>Precio Merc.</t>
  </si>
  <si>
    <t>Valor Merc.</t>
  </si>
  <si>
    <t>Plus/Minus</t>
  </si>
  <si>
    <t>% Var. Hist.</t>
  </si>
  <si>
    <t>% Var. Dia</t>
  </si>
  <si>
    <t>% Cartera</t>
  </si>
  <si>
    <t>$24.03</t>
  </si>
  <si>
    <t>$1,298.03</t>
  </si>
  <si>
    <t>$22.54</t>
  </si>
  <si>
    <t>$1,217.16</t>
  </si>
  <si>
    <t>-$80.88</t>
  </si>
  <si>
    <t>$15.19</t>
  </si>
  <si>
    <t>$471.13</t>
  </si>
  <si>
    <t>$12.80</t>
  </si>
  <si>
    <t>$396.80</t>
  </si>
  <si>
    <t>-$74.34</t>
  </si>
  <si>
    <t>$31.64</t>
  </si>
  <si>
    <t>$16,203.29</t>
  </si>
  <si>
    <t>$31.86</t>
  </si>
  <si>
    <t>$16,312.32</t>
  </si>
  <si>
    <t>$109.02</t>
  </si>
  <si>
    <t>$14.37</t>
  </si>
  <si>
    <t>$4,311.60</t>
  </si>
  <si>
    <t>$14.53</t>
  </si>
  <si>
    <t>$4,359.00</t>
  </si>
  <si>
    <t>$47.40</t>
  </si>
  <si>
    <t>$25.80</t>
  </si>
  <si>
    <t>$1,651.47</t>
  </si>
  <si>
    <t>$28.50</t>
  </si>
  <si>
    <t>$1,824.00</t>
  </si>
  <si>
    <t>$172.52</t>
  </si>
  <si>
    <t>$8.47</t>
  </si>
  <si>
    <t>$67.77</t>
  </si>
  <si>
    <t>$8.73</t>
  </si>
  <si>
    <t>$69.84</t>
  </si>
  <si>
    <t>$2.07</t>
  </si>
  <si>
    <t>DANHOS13</t>
  </si>
  <si>
    <t>FUNO11</t>
  </si>
  <si>
    <t>FMTY14</t>
  </si>
  <si>
    <t>FNOVA17</t>
  </si>
  <si>
    <t>FINN13</t>
  </si>
  <si>
    <t>FIHO12</t>
  </si>
  <si>
    <t>FCFE18</t>
  </si>
  <si>
    <t>FIBRAMQ12</t>
  </si>
  <si>
    <t>FIBRAPL14</t>
  </si>
  <si>
    <t>FSHOP13</t>
  </si>
  <si>
    <t>FPLUS16</t>
  </si>
  <si>
    <t>TERRA13</t>
  </si>
  <si>
    <t>FHIPO14</t>
  </si>
  <si>
    <t>ENE</t>
  </si>
  <si>
    <t>FEB</t>
  </si>
  <si>
    <t>MAR</t>
  </si>
  <si>
    <t>ABR</t>
  </si>
  <si>
    <t>JUN</t>
  </si>
  <si>
    <t>AGO</t>
  </si>
  <si>
    <t>OCT</t>
  </si>
  <si>
    <t>DIC</t>
  </si>
  <si>
    <t>MAY</t>
  </si>
  <si>
    <t>JUL</t>
  </si>
  <si>
    <t>SEP</t>
  </si>
  <si>
    <t>NOV</t>
  </si>
  <si>
    <t>ÚLT EX</t>
  </si>
  <si>
    <t>ÚLT PAG</t>
  </si>
  <si>
    <t>PROX EX</t>
  </si>
  <si>
    <t>PROX 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</si>
</sst>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88B8D"/>
      <name val="Segoe UI"/>
      <family val="2"/>
    </font>
    <font>
      <b/>
      <sz val="14"/>
      <color rgb="FF000000"/>
      <name val="Segoe UI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  <scheme val="minor"/>
    </font>
    <font>
      <sz val="14"/>
      <color rgb="FF54565A"/>
      <name val="Calibri"/>
      <family val="2"/>
      <scheme val="minor"/>
    </font>
    <font>
      <sz val="14"/>
      <color rgb="FFC9291F"/>
      <name val="Calibri"/>
      <family val="2"/>
      <scheme val="minor"/>
    </font>
    <font>
      <sz val="14"/>
      <color rgb="FF01825B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7FA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10" fontId="8" fillId="3" borderId="2" xfId="0" applyNumberFormat="1" applyFont="1" applyFill="1" applyBorder="1" applyAlignment="1">
      <alignment vertical="center" wrapText="1"/>
    </xf>
    <xf numFmtId="9" fontId="7" fillId="3" borderId="2" xfId="0" applyNumberFormat="1" applyFont="1" applyFill="1" applyBorder="1" applyAlignment="1">
      <alignment vertical="center" wrapText="1"/>
    </xf>
    <xf numFmtId="10" fontId="7" fillId="3" borderId="3" xfId="0" applyNumberFormat="1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10" fontId="8" fillId="3" borderId="0" xfId="0" applyNumberFormat="1" applyFont="1" applyFill="1" applyBorder="1" applyAlignment="1">
      <alignment vertical="center" wrapText="1"/>
    </xf>
    <xf numFmtId="9" fontId="7" fillId="3" borderId="0" xfId="0" applyNumberFormat="1" applyFont="1" applyFill="1" applyBorder="1" applyAlignment="1">
      <alignment vertical="center" wrapText="1"/>
    </xf>
    <xf numFmtId="10" fontId="7" fillId="3" borderId="5" xfId="0" applyNumberFormat="1" applyFont="1" applyFill="1" applyBorder="1" applyAlignment="1">
      <alignment vertical="center" wrapText="1"/>
    </xf>
    <xf numFmtId="0" fontId="9" fillId="3" borderId="0" xfId="0" applyFont="1" applyFill="1" applyBorder="1" applyAlignment="1">
      <alignment vertical="center" wrapText="1"/>
    </xf>
    <xf numFmtId="10" fontId="9" fillId="3" borderId="0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0" fontId="7" fillId="3" borderId="0" xfId="1" applyNumberFormat="1" applyFont="1" applyFill="1" applyAlignment="1">
      <alignment vertical="center" wrapText="1"/>
    </xf>
    <xf numFmtId="0" fontId="2" fillId="0" borderId="0" xfId="0" applyFont="1"/>
    <xf numFmtId="0" fontId="1" fillId="2" borderId="0" xfId="2"/>
    <xf numFmtId="0" fontId="11" fillId="4" borderId="0" xfId="0" applyFont="1" applyFill="1" applyAlignment="1">
      <alignment vertical="center" wrapText="1"/>
    </xf>
    <xf numFmtId="1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3">
    <cellStyle name="40% - Accent1" xfId="2" builtinId="3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8C8E-1B29-42E1-82D7-6F2D466E549C}">
  <dimension ref="A1:K41"/>
  <sheetViews>
    <sheetView zoomScale="85" zoomScaleNormal="85" workbookViewId="0">
      <selection activeCell="A2" sqref="A2:A14"/>
    </sheetView>
  </sheetViews>
  <sheetFormatPr defaultRowHeight="15" x14ac:dyDescent="0.25"/>
  <cols>
    <col min="1" max="1" width="23.7109375" customWidth="1"/>
    <col min="2" max="2" width="11.7109375" bestFit="1" customWidth="1"/>
    <col min="3" max="3" width="15" bestFit="1" customWidth="1"/>
    <col min="4" max="4" width="16.85546875" bestFit="1" customWidth="1"/>
    <col min="5" max="5" width="10.7109375" bestFit="1" customWidth="1"/>
    <col min="6" max="6" width="16.85546875" customWidth="1"/>
    <col min="7" max="7" width="16.140625" bestFit="1" customWidth="1"/>
    <col min="8" max="8" width="16.140625" customWidth="1"/>
    <col min="9" max="9" width="11.140625" customWidth="1"/>
    <col min="10" max="10" width="15.42578125" customWidth="1"/>
  </cols>
  <sheetData>
    <row r="1" spans="1:11" ht="6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ht="18.75" x14ac:dyDescent="0.25">
      <c r="A2" s="4" t="s">
        <v>40</v>
      </c>
      <c r="B2" s="5" t="str">
        <f>_xlfn.IFNA(VLOOKUP($A2,$A$27:$J$41,COLUMN(B2),FALSE),"-")</f>
        <v>-</v>
      </c>
      <c r="C2" s="5" t="str">
        <f t="shared" ref="C2:J14" si="0">_xlfn.IFNA(VLOOKUP($A2,$A$27:$J$41,COLUMN(C2),FALSE),"-")</f>
        <v>-</v>
      </c>
      <c r="D2" s="5" t="str">
        <f t="shared" si="0"/>
        <v>-</v>
      </c>
      <c r="E2" s="5" t="str">
        <f t="shared" si="0"/>
        <v>-</v>
      </c>
      <c r="F2" s="5" t="str">
        <f t="shared" si="0"/>
        <v>-</v>
      </c>
      <c r="G2" s="5" t="str">
        <f t="shared" si="0"/>
        <v>-</v>
      </c>
      <c r="H2" s="28" t="str">
        <f t="shared" si="0"/>
        <v>-</v>
      </c>
      <c r="I2" s="28" t="str">
        <f t="shared" si="0"/>
        <v>-</v>
      </c>
      <c r="J2" s="28" t="str">
        <f t="shared" si="0"/>
        <v>-</v>
      </c>
      <c r="K2" s="3"/>
    </row>
    <row r="3" spans="1:11" ht="18.75" x14ac:dyDescent="0.25">
      <c r="A3" s="4" t="s">
        <v>46</v>
      </c>
      <c r="B3" s="5">
        <f t="shared" ref="B3:J14" si="1">_xlfn.IFNA(VLOOKUP($A3,$A$27:$J$41,COLUMN(B3),FALSE),"-")</f>
        <v>54</v>
      </c>
      <c r="C3" s="5" t="str">
        <f t="shared" si="0"/>
        <v>$24.03</v>
      </c>
      <c r="D3" s="5" t="str">
        <f t="shared" si="0"/>
        <v>$1,298.03</v>
      </c>
      <c r="E3" s="5" t="str">
        <f t="shared" si="0"/>
        <v>$22.54</v>
      </c>
      <c r="F3" s="5" t="str">
        <f t="shared" si="0"/>
        <v>$1,217.16</v>
      </c>
      <c r="G3" s="5" t="str">
        <f t="shared" si="0"/>
        <v>-$80.88</v>
      </c>
      <c r="H3" s="28">
        <f t="shared" si="0"/>
        <v>-6.2300000000000001E-2</v>
      </c>
      <c r="I3" s="28">
        <f t="shared" si="0"/>
        <v>0</v>
      </c>
      <c r="J3" s="28">
        <f t="shared" si="0"/>
        <v>5.0299999999999997E-2</v>
      </c>
      <c r="K3" s="3"/>
    </row>
    <row r="4" spans="1:11" ht="18.75" x14ac:dyDescent="0.25">
      <c r="A4" s="4" t="s">
        <v>52</v>
      </c>
      <c r="B4" s="5">
        <f t="shared" si="1"/>
        <v>31</v>
      </c>
      <c r="C4" s="5" t="str">
        <f t="shared" si="0"/>
        <v>$15.19</v>
      </c>
      <c r="D4" s="5" t="str">
        <f t="shared" si="0"/>
        <v>$471.13</v>
      </c>
      <c r="E4" s="5" t="str">
        <f t="shared" si="0"/>
        <v>$12.80</v>
      </c>
      <c r="F4" s="5" t="str">
        <f t="shared" si="0"/>
        <v>$396.80</v>
      </c>
      <c r="G4" s="5" t="str">
        <f t="shared" si="0"/>
        <v>-$74.34</v>
      </c>
      <c r="H4" s="28">
        <f t="shared" si="0"/>
        <v>-0.1578</v>
      </c>
      <c r="I4" s="28">
        <f t="shared" si="0"/>
        <v>0</v>
      </c>
      <c r="J4" s="28">
        <f t="shared" si="0"/>
        <v>1.6400000000000001E-2</v>
      </c>
      <c r="K4" s="3"/>
    </row>
    <row r="5" spans="1:11" ht="18.75" x14ac:dyDescent="0.25">
      <c r="A5" s="4" t="s">
        <v>47</v>
      </c>
      <c r="B5" s="5">
        <f t="shared" si="1"/>
        <v>512</v>
      </c>
      <c r="C5" s="5" t="str">
        <f t="shared" si="0"/>
        <v>$31.64</v>
      </c>
      <c r="D5" s="5" t="str">
        <f t="shared" si="0"/>
        <v>$16,203.29</v>
      </c>
      <c r="E5" s="5" t="str">
        <f t="shared" si="0"/>
        <v>$31.86</v>
      </c>
      <c r="F5" s="5" t="str">
        <f t="shared" si="0"/>
        <v>$16,312.32</v>
      </c>
      <c r="G5" s="5" t="str">
        <f t="shared" si="0"/>
        <v>$109.02</v>
      </c>
      <c r="H5" s="28">
        <f t="shared" si="0"/>
        <v>6.7000000000000002E-3</v>
      </c>
      <c r="I5" s="28">
        <f t="shared" si="0"/>
        <v>0</v>
      </c>
      <c r="J5" s="28">
        <f t="shared" si="0"/>
        <v>0.6744</v>
      </c>
      <c r="K5" s="3"/>
    </row>
    <row r="6" spans="1:11" ht="18.75" x14ac:dyDescent="0.25">
      <c r="A6" s="4" t="s">
        <v>48</v>
      </c>
      <c r="B6" s="5" t="str">
        <f t="shared" si="1"/>
        <v>-</v>
      </c>
      <c r="C6" s="5" t="str">
        <f t="shared" si="0"/>
        <v>-</v>
      </c>
      <c r="D6" s="5" t="str">
        <f t="shared" si="0"/>
        <v>-</v>
      </c>
      <c r="E6" s="5" t="str">
        <f t="shared" si="0"/>
        <v>-</v>
      </c>
      <c r="F6" s="5" t="str">
        <f t="shared" si="0"/>
        <v>-</v>
      </c>
      <c r="G6" s="5" t="str">
        <f t="shared" si="0"/>
        <v>-</v>
      </c>
      <c r="H6" s="28" t="str">
        <f t="shared" si="0"/>
        <v>-</v>
      </c>
      <c r="I6" s="28" t="str">
        <f t="shared" si="0"/>
        <v>-</v>
      </c>
      <c r="J6" s="28" t="str">
        <f t="shared" si="0"/>
        <v>-</v>
      </c>
      <c r="K6" s="3"/>
    </row>
    <row r="7" spans="1:11" ht="18.75" x14ac:dyDescent="0.25">
      <c r="A7" s="6" t="s">
        <v>45</v>
      </c>
      <c r="B7" s="5" t="str">
        <f t="shared" si="1"/>
        <v>-</v>
      </c>
      <c r="C7" s="5" t="str">
        <f t="shared" si="0"/>
        <v>-</v>
      </c>
      <c r="D7" s="5" t="str">
        <f t="shared" si="0"/>
        <v>-</v>
      </c>
      <c r="E7" s="5" t="str">
        <f t="shared" si="0"/>
        <v>-</v>
      </c>
      <c r="F7" s="5" t="str">
        <f t="shared" si="0"/>
        <v>-</v>
      </c>
      <c r="G7" s="5" t="str">
        <f t="shared" si="0"/>
        <v>-</v>
      </c>
      <c r="H7" s="28" t="str">
        <f t="shared" si="0"/>
        <v>-</v>
      </c>
      <c r="I7" s="28" t="str">
        <f t="shared" si="0"/>
        <v>-</v>
      </c>
      <c r="J7" s="28" t="str">
        <f t="shared" si="0"/>
        <v>-</v>
      </c>
      <c r="K7" s="3"/>
    </row>
    <row r="8" spans="1:11" ht="18.75" x14ac:dyDescent="0.25">
      <c r="A8" s="6" t="s">
        <v>44</v>
      </c>
      <c r="B8" s="5" t="str">
        <f t="shared" si="1"/>
        <v>-</v>
      </c>
      <c r="C8" s="5" t="str">
        <f t="shared" si="0"/>
        <v>-</v>
      </c>
      <c r="D8" s="5" t="str">
        <f t="shared" si="0"/>
        <v>-</v>
      </c>
      <c r="E8" s="5" t="str">
        <f t="shared" si="0"/>
        <v>-</v>
      </c>
      <c r="F8" s="5" t="str">
        <f t="shared" si="0"/>
        <v>-</v>
      </c>
      <c r="G8" s="5" t="str">
        <f t="shared" si="0"/>
        <v>-</v>
      </c>
      <c r="H8" s="28" t="str">
        <f t="shared" si="0"/>
        <v>-</v>
      </c>
      <c r="I8" s="28" t="str">
        <f t="shared" si="0"/>
        <v>-</v>
      </c>
      <c r="J8" s="28" t="str">
        <f t="shared" si="0"/>
        <v>-</v>
      </c>
    </row>
    <row r="9" spans="1:11" ht="18.75" x14ac:dyDescent="0.25">
      <c r="A9" s="6" t="s">
        <v>42</v>
      </c>
      <c r="B9" s="5">
        <f t="shared" si="1"/>
        <v>300</v>
      </c>
      <c r="C9" s="5" t="str">
        <f t="shared" si="0"/>
        <v>$14.37</v>
      </c>
      <c r="D9" s="5" t="str">
        <f t="shared" si="0"/>
        <v>$4,311.60</v>
      </c>
      <c r="E9" s="5" t="str">
        <f t="shared" si="0"/>
        <v>$14.53</v>
      </c>
      <c r="F9" s="5" t="str">
        <f t="shared" si="0"/>
        <v>$4,359.00</v>
      </c>
      <c r="G9" s="5" t="str">
        <f t="shared" si="0"/>
        <v>$47.40</v>
      </c>
      <c r="H9" s="28">
        <f t="shared" si="0"/>
        <v>1.0999999999999999E-2</v>
      </c>
      <c r="I9" s="28">
        <f t="shared" si="0"/>
        <v>0</v>
      </c>
      <c r="J9" s="28">
        <f t="shared" si="0"/>
        <v>0.1802</v>
      </c>
    </row>
    <row r="10" spans="1:11" ht="18.75" x14ac:dyDescent="0.25">
      <c r="A10" s="6" t="s">
        <v>43</v>
      </c>
      <c r="B10" s="5">
        <f t="shared" si="1"/>
        <v>64</v>
      </c>
      <c r="C10" s="5" t="str">
        <f t="shared" si="0"/>
        <v>$25.80</v>
      </c>
      <c r="D10" s="5" t="str">
        <f t="shared" si="0"/>
        <v>$1,651.47</v>
      </c>
      <c r="E10" s="5" t="str">
        <f t="shared" si="0"/>
        <v>$28.50</v>
      </c>
      <c r="F10" s="5" t="str">
        <f t="shared" si="0"/>
        <v>$1,824.00</v>
      </c>
      <c r="G10" s="5" t="str">
        <f t="shared" si="0"/>
        <v>$172.52</v>
      </c>
      <c r="H10" s="28">
        <f t="shared" si="0"/>
        <v>0.1045</v>
      </c>
      <c r="I10" s="28">
        <f t="shared" si="0"/>
        <v>0</v>
      </c>
      <c r="J10" s="28">
        <f t="shared" si="0"/>
        <v>7.5399999999999995E-2</v>
      </c>
    </row>
    <row r="11" spans="1:11" ht="18.75" x14ac:dyDescent="0.25">
      <c r="A11" s="6" t="s">
        <v>50</v>
      </c>
      <c r="B11" s="5" t="str">
        <f t="shared" si="1"/>
        <v>-</v>
      </c>
      <c r="C11" s="5" t="str">
        <f t="shared" si="0"/>
        <v>-</v>
      </c>
      <c r="D11" s="5" t="str">
        <f t="shared" si="0"/>
        <v>-</v>
      </c>
      <c r="E11" s="5" t="str">
        <f t="shared" si="0"/>
        <v>-</v>
      </c>
      <c r="F11" s="5" t="str">
        <f t="shared" si="0"/>
        <v>-</v>
      </c>
      <c r="G11" s="5" t="str">
        <f t="shared" si="0"/>
        <v>-</v>
      </c>
      <c r="H11" s="28" t="str">
        <f t="shared" si="0"/>
        <v>-</v>
      </c>
      <c r="I11" s="28" t="str">
        <f t="shared" si="0"/>
        <v>-</v>
      </c>
      <c r="J11" s="28" t="str">
        <f t="shared" si="0"/>
        <v>-</v>
      </c>
    </row>
    <row r="12" spans="1:11" ht="18.75" x14ac:dyDescent="0.25">
      <c r="A12" s="6" t="s">
        <v>49</v>
      </c>
      <c r="B12" s="5">
        <f t="shared" si="1"/>
        <v>8</v>
      </c>
      <c r="C12" s="5" t="str">
        <f t="shared" si="0"/>
        <v>$8.47</v>
      </c>
      <c r="D12" s="5" t="str">
        <f t="shared" si="0"/>
        <v>$67.77</v>
      </c>
      <c r="E12" s="5" t="str">
        <f t="shared" si="0"/>
        <v>$8.73</v>
      </c>
      <c r="F12" s="5" t="str">
        <f t="shared" si="0"/>
        <v>$69.84</v>
      </c>
      <c r="G12" s="5" t="str">
        <f t="shared" si="0"/>
        <v>$2.07</v>
      </c>
      <c r="H12" s="28">
        <f t="shared" si="0"/>
        <v>3.0499999999999999E-2</v>
      </c>
      <c r="I12" s="28">
        <f t="shared" si="0"/>
        <v>0</v>
      </c>
      <c r="J12" s="28">
        <f t="shared" si="0"/>
        <v>2.8999999999999998E-3</v>
      </c>
    </row>
    <row r="13" spans="1:11" ht="18.75" x14ac:dyDescent="0.25">
      <c r="A13" s="6" t="s">
        <v>41</v>
      </c>
      <c r="B13" s="5" t="str">
        <f t="shared" si="1"/>
        <v>-</v>
      </c>
      <c r="C13" s="5" t="str">
        <f t="shared" si="0"/>
        <v>-</v>
      </c>
      <c r="D13" s="5" t="str">
        <f t="shared" si="0"/>
        <v>-</v>
      </c>
      <c r="E13" s="5" t="str">
        <f t="shared" si="0"/>
        <v>-</v>
      </c>
      <c r="F13" s="5" t="str">
        <f t="shared" si="0"/>
        <v>-</v>
      </c>
      <c r="G13" s="5" t="str">
        <f t="shared" si="0"/>
        <v>-</v>
      </c>
      <c r="H13" s="28" t="str">
        <f t="shared" si="0"/>
        <v>-</v>
      </c>
      <c r="I13" s="28" t="str">
        <f t="shared" si="0"/>
        <v>-</v>
      </c>
      <c r="J13" s="28" t="str">
        <f t="shared" si="0"/>
        <v>-</v>
      </c>
    </row>
    <row r="14" spans="1:11" ht="18.75" x14ac:dyDescent="0.25">
      <c r="A14" s="6" t="s">
        <v>51</v>
      </c>
      <c r="B14" s="5" t="str">
        <f t="shared" si="1"/>
        <v>-</v>
      </c>
      <c r="C14" s="5" t="str">
        <f t="shared" si="0"/>
        <v>-</v>
      </c>
      <c r="D14" s="5" t="str">
        <f t="shared" si="0"/>
        <v>-</v>
      </c>
      <c r="E14" s="5" t="str">
        <f t="shared" si="0"/>
        <v>-</v>
      </c>
      <c r="F14" s="5" t="str">
        <f t="shared" si="0"/>
        <v>-</v>
      </c>
      <c r="G14" s="5" t="str">
        <f t="shared" si="0"/>
        <v>-</v>
      </c>
      <c r="H14" s="28" t="str">
        <f t="shared" si="0"/>
        <v>-</v>
      </c>
      <c r="I14" s="28" t="str">
        <f t="shared" si="0"/>
        <v>-</v>
      </c>
      <c r="J14" s="28" t="str">
        <f t="shared" si="0"/>
        <v>-</v>
      </c>
    </row>
    <row r="26" spans="1:10" ht="15.75" thickBot="1" x14ac:dyDescent="0.3"/>
    <row r="27" spans="1:10" ht="18.75" x14ac:dyDescent="0.25">
      <c r="A27" s="7" t="s">
        <v>46</v>
      </c>
      <c r="B27" s="8">
        <v>54</v>
      </c>
      <c r="C27" s="8" t="s">
        <v>10</v>
      </c>
      <c r="D27" s="8" t="s">
        <v>11</v>
      </c>
      <c r="E27" s="8" t="s">
        <v>12</v>
      </c>
      <c r="F27" s="8" t="s">
        <v>13</v>
      </c>
      <c r="G27" s="9" t="s">
        <v>14</v>
      </c>
      <c r="H27" s="10">
        <v>-6.2300000000000001E-2</v>
      </c>
      <c r="I27" s="11">
        <v>0</v>
      </c>
      <c r="J27" s="12">
        <v>5.0299999999999997E-2</v>
      </c>
    </row>
    <row r="28" spans="1:10" ht="18.75" x14ac:dyDescent="0.25">
      <c r="A28" s="13" t="s">
        <v>52</v>
      </c>
      <c r="B28" s="14">
        <v>31</v>
      </c>
      <c r="C28" s="14" t="s">
        <v>15</v>
      </c>
      <c r="D28" s="14" t="s">
        <v>16</v>
      </c>
      <c r="E28" s="14" t="s">
        <v>17</v>
      </c>
      <c r="F28" s="14" t="s">
        <v>18</v>
      </c>
      <c r="G28" s="15" t="s">
        <v>19</v>
      </c>
      <c r="H28" s="16">
        <v>-0.1578</v>
      </c>
      <c r="I28" s="17">
        <v>0</v>
      </c>
      <c r="J28" s="18">
        <v>1.6400000000000001E-2</v>
      </c>
    </row>
    <row r="29" spans="1:10" ht="18.75" x14ac:dyDescent="0.25">
      <c r="A29" s="13" t="s">
        <v>47</v>
      </c>
      <c r="B29" s="14">
        <v>512</v>
      </c>
      <c r="C29" s="14" t="s">
        <v>20</v>
      </c>
      <c r="D29" s="14" t="s">
        <v>21</v>
      </c>
      <c r="E29" s="14" t="s">
        <v>22</v>
      </c>
      <c r="F29" s="14" t="s">
        <v>23</v>
      </c>
      <c r="G29" s="19" t="s">
        <v>24</v>
      </c>
      <c r="H29" s="20">
        <v>6.7000000000000002E-3</v>
      </c>
      <c r="I29" s="17">
        <v>0</v>
      </c>
      <c r="J29" s="18">
        <v>0.6744</v>
      </c>
    </row>
    <row r="30" spans="1:10" ht="18.75" x14ac:dyDescent="0.25">
      <c r="A30" s="13" t="s">
        <v>42</v>
      </c>
      <c r="B30" s="14">
        <v>300</v>
      </c>
      <c r="C30" s="14" t="s">
        <v>25</v>
      </c>
      <c r="D30" s="14" t="s">
        <v>26</v>
      </c>
      <c r="E30" s="14" t="s">
        <v>27</v>
      </c>
      <c r="F30" s="14" t="s">
        <v>28</v>
      </c>
      <c r="G30" s="19" t="s">
        <v>29</v>
      </c>
      <c r="H30" s="20">
        <v>1.0999999999999999E-2</v>
      </c>
      <c r="I30" s="17">
        <v>0</v>
      </c>
      <c r="J30" s="18">
        <v>0.1802</v>
      </c>
    </row>
    <row r="31" spans="1:10" ht="18.75" x14ac:dyDescent="0.25">
      <c r="A31" s="13" t="s">
        <v>43</v>
      </c>
      <c r="B31" s="14">
        <v>64</v>
      </c>
      <c r="C31" s="14" t="s">
        <v>30</v>
      </c>
      <c r="D31" s="14" t="s">
        <v>31</v>
      </c>
      <c r="E31" s="14" t="s">
        <v>32</v>
      </c>
      <c r="F31" s="14" t="s">
        <v>33</v>
      </c>
      <c r="G31" s="19" t="s">
        <v>34</v>
      </c>
      <c r="H31" s="20">
        <v>0.1045</v>
      </c>
      <c r="I31" s="17">
        <v>0</v>
      </c>
      <c r="J31" s="18">
        <v>7.5399999999999995E-2</v>
      </c>
    </row>
    <row r="32" spans="1:10" ht="18.75" x14ac:dyDescent="0.25">
      <c r="A32" s="21" t="s">
        <v>49</v>
      </c>
      <c r="B32" s="14">
        <v>8</v>
      </c>
      <c r="C32" s="14" t="s">
        <v>35</v>
      </c>
      <c r="D32" s="14" t="s">
        <v>36</v>
      </c>
      <c r="E32" s="14" t="s">
        <v>37</v>
      </c>
      <c r="F32" s="14" t="s">
        <v>38</v>
      </c>
      <c r="G32" s="19" t="s">
        <v>39</v>
      </c>
      <c r="H32" s="20">
        <v>3.0499999999999999E-2</v>
      </c>
      <c r="I32" s="17">
        <v>0</v>
      </c>
      <c r="J32" s="18">
        <v>2.8999999999999998E-3</v>
      </c>
    </row>
    <row r="33" spans="1:10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4"/>
    </row>
    <row r="34" spans="1:10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4"/>
    </row>
    <row r="35" spans="1:10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4"/>
    </row>
    <row r="36" spans="1:10" x14ac:dyDescent="0.25">
      <c r="A36" s="22"/>
      <c r="B36" s="23"/>
      <c r="C36" s="23"/>
      <c r="D36" s="23"/>
      <c r="E36" s="23"/>
      <c r="F36" s="23"/>
      <c r="G36" s="23"/>
      <c r="H36" s="23"/>
      <c r="I36" s="23"/>
      <c r="J36" s="24"/>
    </row>
    <row r="37" spans="1:10" x14ac:dyDescent="0.25">
      <c r="A37" s="22"/>
      <c r="B37" s="23"/>
      <c r="C37" s="23"/>
      <c r="D37" s="23"/>
      <c r="E37" s="23"/>
      <c r="F37" s="23"/>
      <c r="G37" s="23"/>
      <c r="H37" s="23"/>
      <c r="I37" s="23"/>
      <c r="J37" s="24"/>
    </row>
    <row r="38" spans="1:10" x14ac:dyDescent="0.25">
      <c r="A38" s="22"/>
      <c r="B38" s="23"/>
      <c r="C38" s="23"/>
      <c r="D38" s="23"/>
      <c r="E38" s="23"/>
      <c r="F38" s="23"/>
      <c r="G38" s="23"/>
      <c r="H38" s="23"/>
      <c r="I38" s="23"/>
      <c r="J38" s="24"/>
    </row>
    <row r="39" spans="1:10" x14ac:dyDescent="0.25">
      <c r="A39" s="22"/>
      <c r="B39" s="23"/>
      <c r="C39" s="23"/>
      <c r="D39" s="23"/>
      <c r="E39" s="23"/>
      <c r="F39" s="23"/>
      <c r="G39" s="23"/>
      <c r="H39" s="23"/>
      <c r="I39" s="23"/>
      <c r="J39" s="24"/>
    </row>
    <row r="40" spans="1:10" x14ac:dyDescent="0.25">
      <c r="A40" s="22"/>
      <c r="B40" s="23"/>
      <c r="C40" s="23"/>
      <c r="D40" s="23"/>
      <c r="E40" s="23"/>
      <c r="F40" s="23"/>
      <c r="G40" s="23"/>
      <c r="H40" s="23"/>
      <c r="I40" s="23"/>
      <c r="J40" s="24"/>
    </row>
    <row r="41" spans="1:10" ht="15.75" thickBot="1" x14ac:dyDescent="0.3">
      <c r="A41" s="25"/>
      <c r="B41" s="26"/>
      <c r="C41" s="26"/>
      <c r="D41" s="26"/>
      <c r="E41" s="26"/>
      <c r="F41" s="26"/>
      <c r="G41" s="26"/>
      <c r="H41" s="26"/>
      <c r="I41" s="26"/>
      <c r="J41" s="27"/>
    </row>
  </sheetData>
  <sortState xmlns:xlrd2="http://schemas.microsoft.com/office/spreadsheetml/2017/richdata2" ref="A13:A25">
    <sortCondition ref="A13:A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C6F8-C1AC-4D71-B96C-D3938C844C7B}">
  <dimension ref="B6:N36"/>
  <sheetViews>
    <sheetView tabSelected="1" workbookViewId="0">
      <selection activeCell="J33" sqref="J33"/>
    </sheetView>
  </sheetViews>
  <sheetFormatPr defaultRowHeight="15" x14ac:dyDescent="0.25"/>
  <cols>
    <col min="2" max="2" width="16.140625" customWidth="1"/>
    <col min="3" max="14" width="8.7109375" customWidth="1"/>
  </cols>
  <sheetData>
    <row r="6" spans="2:14" ht="18.75" x14ac:dyDescent="0.25">
      <c r="C6" s="4" t="s">
        <v>53</v>
      </c>
      <c r="D6" s="4" t="s">
        <v>54</v>
      </c>
      <c r="E6" s="4" t="s">
        <v>55</v>
      </c>
      <c r="F6" s="4" t="s">
        <v>56</v>
      </c>
      <c r="G6" s="4" t="s">
        <v>61</v>
      </c>
      <c r="H6" s="4" t="s">
        <v>57</v>
      </c>
      <c r="I6" s="4" t="s">
        <v>62</v>
      </c>
      <c r="J6" s="4" t="s">
        <v>58</v>
      </c>
      <c r="K6" s="4" t="s">
        <v>63</v>
      </c>
      <c r="L6" s="4" t="s">
        <v>59</v>
      </c>
      <c r="M6" s="4" t="s">
        <v>64</v>
      </c>
      <c r="N6" s="4" t="s">
        <v>60</v>
      </c>
    </row>
    <row r="7" spans="2:14" ht="30" customHeight="1" x14ac:dyDescent="0.25">
      <c r="B7" s="4" t="s">
        <v>40</v>
      </c>
      <c r="E7" s="30"/>
      <c r="G7" s="30"/>
      <c r="J7" s="30"/>
      <c r="M7" s="30"/>
    </row>
    <row r="8" spans="2:14" ht="30" customHeight="1" x14ac:dyDescent="0.25">
      <c r="B8" s="4" t="s">
        <v>46</v>
      </c>
      <c r="E8" s="30"/>
      <c r="H8" s="30"/>
      <c r="K8" s="30"/>
      <c r="N8" s="30"/>
    </row>
    <row r="9" spans="2:14" ht="30" customHeight="1" x14ac:dyDescent="0.25">
      <c r="B9" s="4" t="s">
        <v>52</v>
      </c>
      <c r="E9" s="30"/>
      <c r="G9" s="30"/>
      <c r="J9" s="30"/>
      <c r="M9" s="30"/>
    </row>
    <row r="10" spans="2:14" ht="30" customHeight="1" x14ac:dyDescent="0.25">
      <c r="B10" s="4" t="s">
        <v>47</v>
      </c>
      <c r="C10" s="30"/>
      <c r="E10" s="30"/>
      <c r="H10" s="30"/>
      <c r="K10" s="30"/>
    </row>
    <row r="11" spans="2:14" ht="30" customHeight="1" x14ac:dyDescent="0.25">
      <c r="B11" s="4" t="s">
        <v>48</v>
      </c>
      <c r="C11" s="30"/>
      <c r="F11" s="30"/>
      <c r="I11" s="30"/>
      <c r="L11" s="30"/>
    </row>
    <row r="12" spans="2:14" ht="30" customHeight="1" x14ac:dyDescent="0.25">
      <c r="B12" s="4" t="s">
        <v>45</v>
      </c>
      <c r="E12" s="30"/>
      <c r="G12" s="30"/>
      <c r="J12" s="30"/>
      <c r="M12" s="30"/>
    </row>
    <row r="13" spans="2:14" ht="30" customHeight="1" x14ac:dyDescent="0.25">
      <c r="B13" s="4" t="s">
        <v>44</v>
      </c>
    </row>
    <row r="14" spans="2:14" ht="30" customHeight="1" x14ac:dyDescent="0.25">
      <c r="B14" s="4" t="s">
        <v>42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2:14" ht="30" customHeight="1" x14ac:dyDescent="0.25">
      <c r="B15" s="4" t="s">
        <v>43</v>
      </c>
      <c r="D15" s="30"/>
      <c r="G15" s="30"/>
      <c r="J15" s="30"/>
      <c r="M15" s="30"/>
    </row>
    <row r="16" spans="2:14" ht="30" customHeight="1" x14ac:dyDescent="0.25">
      <c r="B16" s="4" t="s">
        <v>50</v>
      </c>
    </row>
    <row r="17" spans="2:14" ht="30" customHeight="1" x14ac:dyDescent="0.25">
      <c r="B17" s="4" t="s">
        <v>49</v>
      </c>
    </row>
    <row r="18" spans="2:14" ht="30" customHeight="1" x14ac:dyDescent="0.25">
      <c r="B18" s="4" t="s">
        <v>41</v>
      </c>
      <c r="D18" s="30"/>
      <c r="G18" s="30"/>
      <c r="J18" s="30"/>
      <c r="M18" s="30"/>
    </row>
    <row r="19" spans="2:14" ht="30" customHeight="1" x14ac:dyDescent="0.25">
      <c r="B19" s="4" t="s">
        <v>51</v>
      </c>
    </row>
    <row r="23" spans="2:14" x14ac:dyDescent="0.25">
      <c r="C23" s="29" t="s">
        <v>65</v>
      </c>
      <c r="D23" s="29" t="s">
        <v>66</v>
      </c>
      <c r="E23" s="29" t="s">
        <v>67</v>
      </c>
      <c r="F23" s="29" t="s">
        <v>68</v>
      </c>
    </row>
    <row r="24" spans="2:14" x14ac:dyDescent="0.25">
      <c r="B24" s="31" t="s">
        <v>40</v>
      </c>
      <c r="C24" s="32"/>
      <c r="D24" s="32"/>
      <c r="E24" s="32"/>
      <c r="F24" s="32"/>
    </row>
    <row r="25" spans="2:14" x14ac:dyDescent="0.25">
      <c r="B25" s="31" t="s">
        <v>46</v>
      </c>
      <c r="C25" s="32">
        <v>45929</v>
      </c>
      <c r="D25" s="32">
        <v>45930</v>
      </c>
      <c r="E25" s="32"/>
      <c r="F25" s="32"/>
    </row>
    <row r="26" spans="2:14" x14ac:dyDescent="0.25">
      <c r="B26" s="31" t="s">
        <v>52</v>
      </c>
      <c r="C26" s="32"/>
      <c r="D26" s="32"/>
      <c r="E26" s="32"/>
      <c r="F26" s="32"/>
    </row>
    <row r="27" spans="2:14" x14ac:dyDescent="0.25">
      <c r="B27" s="31" t="s">
        <v>47</v>
      </c>
      <c r="C27" s="32">
        <v>45925</v>
      </c>
      <c r="D27" s="32">
        <v>45926</v>
      </c>
      <c r="E27" s="32"/>
      <c r="F27" s="32"/>
    </row>
    <row r="28" spans="2:14" x14ac:dyDescent="0.25">
      <c r="B28" s="31" t="s">
        <v>48</v>
      </c>
      <c r="C28" s="32"/>
      <c r="D28" s="32"/>
      <c r="E28" s="32"/>
      <c r="F28" s="32"/>
      <c r="J28">
        <v>0.61250000000000004</v>
      </c>
      <c r="K28">
        <f>J28*0.7*512</f>
        <v>219.52</v>
      </c>
      <c r="L28">
        <v>16203</v>
      </c>
      <c r="M28">
        <f>K28/L28</f>
        <v>1.3548108374992285E-2</v>
      </c>
      <c r="N28">
        <f>M28*4</f>
        <v>5.4192433499969141E-2</v>
      </c>
    </row>
    <row r="29" spans="2:14" x14ac:dyDescent="0.25">
      <c r="B29" s="31" t="s">
        <v>45</v>
      </c>
      <c r="C29" s="32"/>
      <c r="D29" s="32"/>
      <c r="E29" s="32"/>
      <c r="F29" s="32"/>
      <c r="J29">
        <v>0.09</v>
      </c>
      <c r="K29">
        <f>J29*0.7*300</f>
        <v>18.899999999999999</v>
      </c>
      <c r="L29">
        <v>4311.6000000000004</v>
      </c>
      <c r="M29">
        <f>K29/L29</f>
        <v>4.3835235179515717E-3</v>
      </c>
      <c r="N29">
        <f>M29*12</f>
        <v>5.2602282215418864E-2</v>
      </c>
    </row>
    <row r="30" spans="2:14" x14ac:dyDescent="0.25">
      <c r="B30" s="31" t="s">
        <v>44</v>
      </c>
      <c r="C30" s="32"/>
      <c r="D30" s="32"/>
      <c r="E30" s="32"/>
      <c r="F30" s="32"/>
      <c r="J30">
        <v>0.73</v>
      </c>
      <c r="K30">
        <f>J30*0.86*54</f>
        <v>33.901200000000003</v>
      </c>
      <c r="L30">
        <v>1298.03</v>
      </c>
      <c r="M30">
        <f>K30/L30</f>
        <v>2.611742409651549E-2</v>
      </c>
      <c r="N30">
        <f>M30*4</f>
        <v>0.10446969638606196</v>
      </c>
    </row>
    <row r="31" spans="2:14" x14ac:dyDescent="0.25">
      <c r="B31" s="31" t="s">
        <v>42</v>
      </c>
      <c r="C31" s="32">
        <v>45925</v>
      </c>
      <c r="D31" s="32">
        <v>45926</v>
      </c>
      <c r="E31" s="32"/>
      <c r="F31" s="32"/>
    </row>
    <row r="32" spans="2:14" x14ac:dyDescent="0.25">
      <c r="B32" s="31" t="s">
        <v>43</v>
      </c>
      <c r="C32" s="32"/>
      <c r="D32" s="32"/>
      <c r="E32" s="32"/>
      <c r="F32" s="32"/>
      <c r="J32">
        <f>66.03/73.363-1</f>
        <v>-9.9955018197183887E-2</v>
      </c>
    </row>
    <row r="33" spans="2:10" x14ac:dyDescent="0.25">
      <c r="B33" s="31" t="s">
        <v>50</v>
      </c>
      <c r="C33" s="32"/>
      <c r="D33" s="32"/>
      <c r="E33" s="32"/>
      <c r="F33" s="32"/>
      <c r="J33">
        <f>69.3/72.1-1</f>
        <v>-3.8834951456310662E-2</v>
      </c>
    </row>
    <row r="34" spans="2:10" x14ac:dyDescent="0.25">
      <c r="B34" s="31" t="s">
        <v>49</v>
      </c>
      <c r="C34" s="32"/>
      <c r="D34" s="32"/>
      <c r="E34" s="32"/>
      <c r="F34" s="32"/>
    </row>
    <row r="35" spans="2:10" x14ac:dyDescent="0.25">
      <c r="B35" s="31" t="s">
        <v>41</v>
      </c>
      <c r="C35" s="32"/>
      <c r="D35" s="32"/>
      <c r="E35" s="32"/>
      <c r="F35" s="32"/>
    </row>
    <row r="36" spans="2:10" x14ac:dyDescent="0.25">
      <c r="B36" s="31" t="s">
        <v>51</v>
      </c>
      <c r="C36" s="32"/>
      <c r="D36" s="32"/>
      <c r="E36" s="32"/>
      <c r="F36" s="32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577A-0A2A-4B9D-9E8B-DC394D945CBD}">
  <dimension ref="A1:J10"/>
  <sheetViews>
    <sheetView workbookViewId="0">
      <selection activeCell="F6" sqref="F6"/>
    </sheetView>
  </sheetViews>
  <sheetFormatPr defaultRowHeight="15" x14ac:dyDescent="0.25"/>
  <sheetData>
    <row r="1" spans="1:10" ht="50.1" customHeight="1" x14ac:dyDescent="0.25">
      <c r="A1" s="33"/>
      <c r="B1" s="34"/>
      <c r="C1" s="34"/>
      <c r="D1" s="34"/>
      <c r="E1" s="34"/>
      <c r="F1" s="34"/>
      <c r="G1" s="34"/>
      <c r="H1" s="34"/>
      <c r="I1" s="34"/>
      <c r="J1" s="35"/>
    </row>
    <row r="2" spans="1:10" ht="50.1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4"/>
    </row>
    <row r="3" spans="1:10" ht="50.1" customHeight="1" x14ac:dyDescent="0.25">
      <c r="A3" s="22"/>
      <c r="B3" s="23"/>
      <c r="C3" s="23"/>
      <c r="D3" s="23"/>
      <c r="E3" s="23"/>
      <c r="F3" s="23"/>
      <c r="G3" s="23"/>
      <c r="H3" s="23"/>
      <c r="I3" s="23"/>
      <c r="J3" s="24"/>
    </row>
    <row r="4" spans="1:10" ht="50.1" customHeight="1" x14ac:dyDescent="0.25">
      <c r="A4" s="22"/>
      <c r="B4" s="23"/>
      <c r="C4" s="23"/>
      <c r="D4" s="23"/>
      <c r="E4" s="23"/>
      <c r="F4" s="23"/>
      <c r="G4" s="23"/>
      <c r="H4" s="23"/>
      <c r="I4" s="23"/>
      <c r="J4" s="24"/>
    </row>
    <row r="5" spans="1:10" ht="50.1" customHeight="1" x14ac:dyDescent="0.25">
      <c r="A5" s="22"/>
      <c r="B5" s="23"/>
      <c r="C5" s="23"/>
      <c r="D5" s="23"/>
      <c r="E5" s="23"/>
      <c r="F5" s="23"/>
      <c r="G5" s="23"/>
      <c r="H5" s="23"/>
      <c r="I5" s="23"/>
      <c r="J5" s="24"/>
    </row>
    <row r="6" spans="1:10" ht="50.1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4"/>
    </row>
    <row r="7" spans="1:10" ht="50.1" customHeight="1" x14ac:dyDescent="0.25">
      <c r="A7" s="22"/>
      <c r="B7" s="23"/>
      <c r="C7" s="23"/>
      <c r="D7" s="23"/>
      <c r="E7" s="23"/>
      <c r="F7" s="23"/>
      <c r="G7" s="23"/>
      <c r="H7" s="23"/>
      <c r="I7" s="23"/>
      <c r="J7" s="24"/>
    </row>
    <row r="8" spans="1:10" ht="50.1" customHeight="1" x14ac:dyDescent="0.25">
      <c r="A8" s="22"/>
      <c r="B8" s="23"/>
      <c r="C8" s="23"/>
      <c r="D8" s="23"/>
      <c r="E8" s="23"/>
      <c r="F8" s="23"/>
      <c r="G8" s="23"/>
      <c r="H8" s="23"/>
      <c r="I8" s="23"/>
      <c r="J8" s="24"/>
    </row>
    <row r="9" spans="1:10" ht="50.1" customHeight="1" x14ac:dyDescent="0.25">
      <c r="A9" s="22"/>
      <c r="B9" s="23"/>
      <c r="C9" s="23"/>
      <c r="D9" s="23"/>
      <c r="E9" s="23"/>
      <c r="F9" s="23"/>
      <c r="G9" s="23"/>
      <c r="H9" s="23"/>
      <c r="I9" s="23"/>
      <c r="J9" s="24"/>
    </row>
    <row r="10" spans="1:10" ht="50.1" customHeight="1" thickBot="1" x14ac:dyDescent="0.3">
      <c r="A10" s="25"/>
      <c r="B10" s="26"/>
      <c r="C10" s="26"/>
      <c r="D10" s="26"/>
      <c r="E10" s="26"/>
      <c r="F10" s="26"/>
      <c r="G10" s="26"/>
      <c r="H10" s="26"/>
      <c r="I10" s="26"/>
      <c r="J1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Portafolio GBM</vt:lpstr>
      <vt:lpstr>Calendario distribuciones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</dc:creator>
  <cp:lastModifiedBy>M R</cp:lastModifiedBy>
  <dcterms:created xsi:type="dcterms:W3CDTF">2025-09-23T07:34:21Z</dcterms:created>
  <dcterms:modified xsi:type="dcterms:W3CDTF">2025-09-29T17:02:29Z</dcterms:modified>
</cp:coreProperties>
</file>